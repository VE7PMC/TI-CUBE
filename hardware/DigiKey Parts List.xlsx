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017ba633940657/Personal/TI-CUBE/"/>
    </mc:Choice>
  </mc:AlternateContent>
  <xr:revisionPtr revIDLastSave="1" documentId="8_{3CF21733-8FE8-48AA-B5FB-8BB7DF5DE39B}" xr6:coauthVersionLast="47" xr6:coauthVersionMax="47" xr10:uidLastSave="{E29BF9DB-B0FE-44A9-BB37-CAFE528BC142}"/>
  <bookViews>
    <workbookView xWindow="-120" yWindow="-120" windowWidth="29040" windowHeight="15720" xr2:uid="{00000000-000D-0000-FFFF-FFFF00000000}"/>
  </bookViews>
  <sheets>
    <sheet name="My Lists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" i="1"/>
</calcChain>
</file>

<file path=xl/sharedStrings.xml><?xml version="1.0" encoding="utf-8"?>
<sst xmlns="http://schemas.openxmlformats.org/spreadsheetml/2006/main" count="192" uniqueCount="149">
  <si>
    <t>Index</t>
  </si>
  <si>
    <t>Manufacturer Part Number</t>
  </si>
  <si>
    <t>Manufacturer Name</t>
  </si>
  <si>
    <t>Description</t>
  </si>
  <si>
    <t>Requested Quantity 1</t>
  </si>
  <si>
    <t>Pack Type 1</t>
  </si>
  <si>
    <t>Digi-Key Part Number 1</t>
  </si>
  <si>
    <t>Unit Price 1</t>
  </si>
  <si>
    <t>Extended Price 1</t>
  </si>
  <si>
    <t>Datasheet</t>
  </si>
  <si>
    <t>1825027-5</t>
  </si>
  <si>
    <t>TE Connectivity ALCOSWITCH Switches</t>
  </si>
  <si>
    <t>SWITCH TACTILE SPST-NO 0.05A 24V</t>
  </si>
  <si>
    <t>Bulk</t>
  </si>
  <si>
    <t>450-1662-ND</t>
  </si>
  <si>
    <t>0.21000</t>
  </si>
  <si>
    <t>https://www.te.com/commerce/DocumentDelivery/DDEController?Action=srchrtrv&amp;DocNm=1308111-1_SWITCHES_CORE_PROGRAM_CATALOG&amp;DocType=CS&amp;DocLang=English</t>
  </si>
  <si>
    <t>171825-4</t>
  </si>
  <si>
    <t>TE Connectivity AMP Connectors</t>
  </si>
  <si>
    <t>CONN HEADER VERT 4POS 2.5MM</t>
  </si>
  <si>
    <t>A106197-ND</t>
  </si>
  <si>
    <t>0.30000</t>
  </si>
  <si>
    <t>https://mm.digikey.com/Volume0/opasdata/d220001/medias/docus/2590/Post%20Headers%20%28Board%20Applied%29.pdf</t>
  </si>
  <si>
    <t>LTL-4211N</t>
  </si>
  <si>
    <t>Lite-On Inc.</t>
  </si>
  <si>
    <t>LED RED DIFFUSED T-1 T/H</t>
  </si>
  <si>
    <t>160-1956-ND</t>
  </si>
  <si>
    <t>0.20000</t>
  </si>
  <si>
    <t>https://mm.digikey.com/Volume0/opasdata/d220001/medias/docus/526/LTL-4211N.pdf</t>
  </si>
  <si>
    <t>68020-472HLF</t>
  </si>
  <si>
    <t>Amphenol ICC (FCI)</t>
  </si>
  <si>
    <t>CONN HEADER R/A 72POS 2.54MM</t>
  </si>
  <si>
    <t>Bag</t>
  </si>
  <si>
    <t>609-3459-ND</t>
  </si>
  <si>
    <t>2.24000</t>
  </si>
  <si>
    <t>https://www.waldom.com/upload/parts/datasheets/mf-fci/fci-68020-472hlf.pdf</t>
  </si>
  <si>
    <t>PPTC362LFBN-RC</t>
  </si>
  <si>
    <t>Sullins Connector Solutions</t>
  </si>
  <si>
    <t>CONN HDR 72POS 0.1 TIN PCB</t>
  </si>
  <si>
    <t>Tray</t>
  </si>
  <si>
    <t>S7104-ND</t>
  </si>
  <si>
    <t>3.41000</t>
  </si>
  <si>
    <t>https://mm.digikey.com/Volume0/opasdata/d220001/medias/docus/937/Female_Headers.100_DS.pdf</t>
  </si>
  <si>
    <t>SSQ-136-02-T-D-RA</t>
  </si>
  <si>
    <t>Samtec Inc.</t>
  </si>
  <si>
    <t>CONN RCPT 72POS 0.1 TIN PCB R/A</t>
  </si>
  <si>
    <t>SAM1224-36-ND</t>
  </si>
  <si>
    <t>7.93000</t>
  </si>
  <si>
    <t>https://suddendocs.samtec.com/catalog_english/ssq_th.pdf</t>
  </si>
  <si>
    <t>ECS-480-S-1</t>
  </si>
  <si>
    <t>ECS Inc.</t>
  </si>
  <si>
    <t>CRYSTAL 48.0000MHZ SERIES TH</t>
  </si>
  <si>
    <t>X065-ND</t>
  </si>
  <si>
    <t>0.54000</t>
  </si>
  <si>
    <t>https://ecsxtal.com/store/pdf/hc49u.pdf</t>
  </si>
  <si>
    <t>G800W590018EU</t>
  </si>
  <si>
    <t>Amphenol ICC (Commercial Products)</t>
  </si>
  <si>
    <t>PIN HEADER 2.54MM PITCH STR DIP,</t>
  </si>
  <si>
    <t>664-G800W590018EU-ND</t>
  </si>
  <si>
    <t>0.23000</t>
  </si>
  <si>
    <t>https://cdn.amphenol-cs.com/media/wysiwyg/files/documentation/datasheet/boardwiretoboard/bwb_agilbrick_2_54mm_btb_header_g800.pdf</t>
  </si>
  <si>
    <t>PHED-RS010G1ABOGA-C006</t>
  </si>
  <si>
    <t>SUPERIOR TECH</t>
  </si>
  <si>
    <t>MALE HEADER RIGHT ANGLE THROUGH</t>
  </si>
  <si>
    <t>4324-PHED-RS010G1ABOGA-C006-ND</t>
  </si>
  <si>
    <t>https://mm.digikey.com/Volume0/opasdata/d220001/medias/docus/5335/PHED-RSzzzG1ABOGA-C006_Drawing.pdf</t>
  </si>
  <si>
    <t>4609X-101-472LF</t>
  </si>
  <si>
    <t>Bourns Inc.</t>
  </si>
  <si>
    <t>RES ARRAY 8 RES 4.7K OHM 9SIP</t>
  </si>
  <si>
    <t>4609X-101-472LF-ND</t>
  </si>
  <si>
    <t>0.37000</t>
  </si>
  <si>
    <t>https://bourns.com/docs/Product-Datasheets/4600x.pdf</t>
  </si>
  <si>
    <t>ICL7660CPA+</t>
  </si>
  <si>
    <t>Analog Devices Inc./Maxim Integrated</t>
  </si>
  <si>
    <t>IC REG CHARGE PUMP 20MA 8PDIP</t>
  </si>
  <si>
    <t>Tube</t>
  </si>
  <si>
    <t>ICL7660CPA+-ND</t>
  </si>
  <si>
    <t>4.36000</t>
  </si>
  <si>
    <t>https://www.analog.com/media/en/technical-documentation/data-sheets/icl7660-max1044.pdf</t>
  </si>
  <si>
    <t>CF14JT18R0</t>
  </si>
  <si>
    <t>Stackpole Electronics Inc</t>
  </si>
  <si>
    <t>RES 18 OHM 5% 1/4W AXIAL</t>
  </si>
  <si>
    <t>Cut Tape (CT)</t>
  </si>
  <si>
    <t>CF14JT18R0CT-ND</t>
  </si>
  <si>
    <t>0.10000</t>
  </si>
  <si>
    <t>https://www.seielect.com/catalog/SEI-CF_CFM.pdf</t>
  </si>
  <si>
    <t>K104K10X7RF53L2</t>
  </si>
  <si>
    <t>Vishay Beyschlag/Draloric/BC Components</t>
  </si>
  <si>
    <t>CAP CER 0.1UF 50V X7R RADIAL</t>
  </si>
  <si>
    <t>BC5137-ND</t>
  </si>
  <si>
    <t>0.15400</t>
  </si>
  <si>
    <t>https://www.vishay.com/docs/45171/kseries.pdf</t>
  </si>
  <si>
    <t>ESK105M050AC3AA</t>
  </si>
  <si>
    <t>KEMET</t>
  </si>
  <si>
    <t>CAP ALUM 1UF 20% 50V RADIAL TH</t>
  </si>
  <si>
    <t>399-6596-ND</t>
  </si>
  <si>
    <t>0.09200</t>
  </si>
  <si>
    <t>https://yageogroup.com/content/datasheet/asset/file/KEM_A4004_ESK</t>
  </si>
  <si>
    <t>10129378-902002BLF</t>
  </si>
  <si>
    <t>CONN HEADER VERT 2POS 2.54MM</t>
  </si>
  <si>
    <t>10129378-902002BLF-ND</t>
  </si>
  <si>
    <t>https://cdn.amphenol-cs.com/media/wysiwyg/files/documentation/datasheet/boardwiretoboard/bwb_econostik_254headers.pdf</t>
  </si>
  <si>
    <t>TSW-103-07-F-S</t>
  </si>
  <si>
    <t>CONN HEADER VERT 3POS 2.54MM</t>
  </si>
  <si>
    <t>SAM8995-ND</t>
  </si>
  <si>
    <t>0.17000</t>
  </si>
  <si>
    <t>https://suddendocs.samtec.com/catalog_english/tsw_th.pdf</t>
  </si>
  <si>
    <t>MAX232EIN</t>
  </si>
  <si>
    <t>Texas Instruments</t>
  </si>
  <si>
    <t>IC TRANSCEIVER FULL 2/2 16PDIP</t>
  </si>
  <si>
    <t>296-27963-5-ND</t>
  </si>
  <si>
    <t>1.88000</t>
  </si>
  <si>
    <t>https://www.ti.com/general/docs/suppproductinfo.tsp?distId=10&amp;gotoUrl=https%3A%2F%2Fwww.ti.com%2Flit%2Fgpn%2Fmax232e</t>
  </si>
  <si>
    <t>ATF16V8B-15PU</t>
  </si>
  <si>
    <t>Microchip Technology</t>
  </si>
  <si>
    <t>IC PLD 8MC 15NS 20DIP</t>
  </si>
  <si>
    <t>ATF16V8B-15PU-ND</t>
  </si>
  <si>
    <t>1.22000</t>
  </si>
  <si>
    <t>https://ww1.microchip.com/downloads/en/DeviceDoc/Atmel-0364-PLD-ATF16V8B-8BQ-8BQL-Datasheet.pdf</t>
  </si>
  <si>
    <t>78FR47K-RC</t>
  </si>
  <si>
    <t>FIXED IND 470NH 1A 110 MOHM TH</t>
  </si>
  <si>
    <t>78FR47K-RC-ND</t>
  </si>
  <si>
    <t>https://www.bourns.com/docs/Product-Datasheets/78f_series.pdf</t>
  </si>
  <si>
    <t>ESH476M025AC3AA</t>
  </si>
  <si>
    <t>CAP ALUM 47UF 20% 25V RADIAL TH</t>
  </si>
  <si>
    <t>399-6587-ND</t>
  </si>
  <si>
    <t>https://yageogroup.com/content/datasheet/asset/file/KEM_A4005_ESH</t>
  </si>
  <si>
    <t>ESW226M025AC3AA</t>
  </si>
  <si>
    <t>CAP ALUM 22UF 20% 25V RADIAL TH</t>
  </si>
  <si>
    <t>Box</t>
  </si>
  <si>
    <t>399-ESW226M025AC3AA-ND</t>
  </si>
  <si>
    <t>https://yageogroup.com/content/datasheet/asset/file/KEM_A4009_ESW</t>
  </si>
  <si>
    <t>ESH106M050AC3AA</t>
  </si>
  <si>
    <t>CAP ALUM 10UF 20% 50V RADIAL TH</t>
  </si>
  <si>
    <t>399-6543-ND</t>
  </si>
  <si>
    <t>0.18000</t>
  </si>
  <si>
    <t>K180J15C0GF53L2</t>
  </si>
  <si>
    <t>CAP CER 18PF 50V C0G/NP0 RADIAL</t>
  </si>
  <si>
    <t>K180J15C0GF53L2-ND</t>
  </si>
  <si>
    <t>0.25000</t>
  </si>
  <si>
    <t>CF14JT4K70</t>
  </si>
  <si>
    <t>RES 4.7K OHM 5% 1/4W AXIAL</t>
  </si>
  <si>
    <t>CF14JT4K70CT-ND</t>
  </si>
  <si>
    <t>CF14JT1K00</t>
  </si>
  <si>
    <t>RES 1K OHM 5% 1/4W AXIAL</t>
  </si>
  <si>
    <t>CF14JT1K00CT-ND</t>
  </si>
  <si>
    <t>CF14JT470R</t>
  </si>
  <si>
    <t>RES 470 OHM 5% 1/4W AXIAL</t>
  </si>
  <si>
    <t>CF14JT470RCT-ND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</si>
</sst>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amphenol-cs.com/media/wysiwyg/files/documentation/datasheet/boardwiretoboard/bwb_agilbrick_2_54mm_btb_header_g800.pdf" TargetMode="External"/><Relationship Id="rId13" Type="http://schemas.openxmlformats.org/officeDocument/2006/relationships/hyperlink" Target="https://www.vishay.com/docs/45171/kseries.pdf" TargetMode="External"/><Relationship Id="rId18" Type="http://schemas.openxmlformats.org/officeDocument/2006/relationships/hyperlink" Target="https://ww1.microchip.com/downloads/en/DeviceDoc/Atmel-0364-PLD-ATF16V8B-8BQ-8BQL-Datasheet.pdf" TargetMode="External"/><Relationship Id="rId26" Type="http://schemas.openxmlformats.org/officeDocument/2006/relationships/hyperlink" Target="https://www.seielect.com/catalog/SEI-CF_CFM.pdf" TargetMode="External"/><Relationship Id="rId3" Type="http://schemas.openxmlformats.org/officeDocument/2006/relationships/hyperlink" Target="https://mm.digikey.com/Volume0/opasdata/d220001/medias/docus/526/LTL-4211N.pdf" TargetMode="External"/><Relationship Id="rId21" Type="http://schemas.openxmlformats.org/officeDocument/2006/relationships/hyperlink" Target="https://yageogroup.com/content/datasheet/asset/file/KEM_A4009_ESW" TargetMode="External"/><Relationship Id="rId7" Type="http://schemas.openxmlformats.org/officeDocument/2006/relationships/hyperlink" Target="https://ecsxtal.com/store/pdf/hc49u.pdf" TargetMode="External"/><Relationship Id="rId12" Type="http://schemas.openxmlformats.org/officeDocument/2006/relationships/hyperlink" Target="https://www.seielect.com/catalog/SEI-CF_CFM.pdf" TargetMode="External"/><Relationship Id="rId17" Type="http://schemas.openxmlformats.org/officeDocument/2006/relationships/hyperlink" Target="https://www.ti.com/general/docs/suppproductinfo.tsp?distId=10&amp;gotoUrl=https%3A%2F%2Fwww.ti.com%2Flit%2Fgpn%2Fmax232e" TargetMode="External"/><Relationship Id="rId25" Type="http://schemas.openxmlformats.org/officeDocument/2006/relationships/hyperlink" Target="https://www.seielect.com/catalog/SEI-CF_CFM.pdf" TargetMode="External"/><Relationship Id="rId2" Type="http://schemas.openxmlformats.org/officeDocument/2006/relationships/hyperlink" Target="https://mm.digikey.com/Volume0/opasdata/d220001/medias/docus/2590/Post%20Headers%20%28Board%20Applied%29.pdf" TargetMode="External"/><Relationship Id="rId16" Type="http://schemas.openxmlformats.org/officeDocument/2006/relationships/hyperlink" Target="https://suddendocs.samtec.com/catalog_english/tsw_th.pdf" TargetMode="External"/><Relationship Id="rId20" Type="http://schemas.openxmlformats.org/officeDocument/2006/relationships/hyperlink" Target="https://yageogroup.com/content/datasheet/asset/file/KEM_A4005_ESH" TargetMode="External"/><Relationship Id="rId1" Type="http://schemas.openxmlformats.org/officeDocument/2006/relationships/hyperlink" Target="https://www.te.com/commerce/DocumentDelivery/DDEController?Action=srchrtrv&amp;DocNm=1308111-1_SWITCHES_CORE_PROGRAM_CATALOG&amp;DocType=CS&amp;DocLang=English" TargetMode="External"/><Relationship Id="rId6" Type="http://schemas.openxmlformats.org/officeDocument/2006/relationships/hyperlink" Target="https://suddendocs.samtec.com/catalog_english/ssq_th.pdf" TargetMode="External"/><Relationship Id="rId11" Type="http://schemas.openxmlformats.org/officeDocument/2006/relationships/hyperlink" Target="https://www.analog.com/media/en/technical-documentation/data-sheets/icl7660-max1044.pdf" TargetMode="External"/><Relationship Id="rId24" Type="http://schemas.openxmlformats.org/officeDocument/2006/relationships/hyperlink" Target="https://www.seielect.com/catalog/SEI-CF_CFM.pdf" TargetMode="External"/><Relationship Id="rId5" Type="http://schemas.openxmlformats.org/officeDocument/2006/relationships/hyperlink" Target="https://mm.digikey.com/Volume0/opasdata/d220001/medias/docus/937/Female_Headers.100_DS.pdf" TargetMode="External"/><Relationship Id="rId15" Type="http://schemas.openxmlformats.org/officeDocument/2006/relationships/hyperlink" Target="https://cdn.amphenol-cs.com/media/wysiwyg/files/documentation/datasheet/boardwiretoboard/bwb_econostik_254headers.pdf" TargetMode="External"/><Relationship Id="rId23" Type="http://schemas.openxmlformats.org/officeDocument/2006/relationships/hyperlink" Target="https://www.vishay.com/docs/45171/kseries.pdf" TargetMode="External"/><Relationship Id="rId10" Type="http://schemas.openxmlformats.org/officeDocument/2006/relationships/hyperlink" Target="https://bourns.com/docs/Product-Datasheets/4600x.pdf" TargetMode="External"/><Relationship Id="rId19" Type="http://schemas.openxmlformats.org/officeDocument/2006/relationships/hyperlink" Target="https://www.bourns.com/docs/Product-Datasheets/78f_series.pdf" TargetMode="External"/><Relationship Id="rId4" Type="http://schemas.openxmlformats.org/officeDocument/2006/relationships/hyperlink" Target="https://www.waldom.com/upload/parts/datasheets/mf-fci/fci-68020-472hlf.pdf" TargetMode="External"/><Relationship Id="rId9" Type="http://schemas.openxmlformats.org/officeDocument/2006/relationships/hyperlink" Target="https://mm.digikey.com/Volume0/opasdata/d220001/medias/docus/5335/PHED-RSzzzG1ABOGA-C006_Drawing.pdf" TargetMode="External"/><Relationship Id="rId14" Type="http://schemas.openxmlformats.org/officeDocument/2006/relationships/hyperlink" Target="https://yageogroup.com/content/datasheet/asset/file/KEM_A4004_ESK" TargetMode="External"/><Relationship Id="rId22" Type="http://schemas.openxmlformats.org/officeDocument/2006/relationships/hyperlink" Target="https://yageogroup.com/content/datasheet/asset/file/KEM_A4005_E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J32" sqref="J32"/>
    </sheetView>
  </sheetViews>
  <sheetFormatPr defaultRowHeight="15" x14ac:dyDescent="0.25"/>
  <cols>
    <col min="1" max="1" width="6" bestFit="1" customWidth="1"/>
    <col min="2" max="2" width="25.7109375" bestFit="1" customWidth="1"/>
    <col min="3" max="3" width="39.5703125" bestFit="1" customWidth="1"/>
    <col min="4" max="4" width="35.28515625" bestFit="1" customWidth="1"/>
    <col min="5" max="5" width="20.42578125" bestFit="1" customWidth="1"/>
    <col min="6" max="6" width="12.7109375" bestFit="1" customWidth="1"/>
    <col min="7" max="7" width="34.140625" bestFit="1" customWidth="1"/>
    <col min="8" max="8" width="11" bestFit="1" customWidth="1"/>
    <col min="10" max="10" width="160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2</v>
      </c>
      <c r="F2" t="s">
        <v>13</v>
      </c>
      <c r="G2" t="s">
        <v>14</v>
      </c>
      <c r="H2" t="s">
        <v>15</v>
      </c>
      <c r="I2" s="1">
        <f>H2*E2</f>
        <v>0.42</v>
      </c>
      <c r="J2" t="s">
        <v>16</v>
      </c>
    </row>
    <row r="3" spans="1:10" x14ac:dyDescent="0.25">
      <c r="A3">
        <v>2</v>
      </c>
      <c r="B3" t="s">
        <v>17</v>
      </c>
      <c r="C3" t="s">
        <v>18</v>
      </c>
      <c r="D3" t="s">
        <v>19</v>
      </c>
      <c r="E3">
        <v>1</v>
      </c>
      <c r="F3" t="s">
        <v>13</v>
      </c>
      <c r="G3" t="s">
        <v>20</v>
      </c>
      <c r="H3" t="s">
        <v>21</v>
      </c>
      <c r="I3" s="1">
        <f t="shared" ref="I3:I27" si="0">H3*E3</f>
        <v>0.3</v>
      </c>
      <c r="J3" t="s">
        <v>22</v>
      </c>
    </row>
    <row r="4" spans="1:10" x14ac:dyDescent="0.25">
      <c r="A4">
        <v>3</v>
      </c>
      <c r="B4" t="s">
        <v>23</v>
      </c>
      <c r="C4" t="s">
        <v>24</v>
      </c>
      <c r="D4" t="s">
        <v>25</v>
      </c>
      <c r="E4">
        <v>6</v>
      </c>
      <c r="F4" t="s">
        <v>13</v>
      </c>
      <c r="G4" t="s">
        <v>26</v>
      </c>
      <c r="H4" t="s">
        <v>27</v>
      </c>
      <c r="I4" s="1">
        <f t="shared" si="0"/>
        <v>1.2000000000000002</v>
      </c>
      <c r="J4" t="s">
        <v>28</v>
      </c>
    </row>
    <row r="5" spans="1:10" x14ac:dyDescent="0.25">
      <c r="A5">
        <v>4</v>
      </c>
      <c r="B5" t="s">
        <v>29</v>
      </c>
      <c r="C5" t="s">
        <v>30</v>
      </c>
      <c r="D5" t="s">
        <v>31</v>
      </c>
      <c r="E5">
        <v>5</v>
      </c>
      <c r="F5" t="s">
        <v>32</v>
      </c>
      <c r="G5" t="s">
        <v>33</v>
      </c>
      <c r="H5" t="s">
        <v>34</v>
      </c>
      <c r="I5" s="1">
        <f t="shared" si="0"/>
        <v>11.200000000000001</v>
      </c>
      <c r="J5" t="s">
        <v>35</v>
      </c>
    </row>
    <row r="6" spans="1:10" x14ac:dyDescent="0.25">
      <c r="A6">
        <v>5</v>
      </c>
      <c r="B6" t="s">
        <v>36</v>
      </c>
      <c r="C6" t="s">
        <v>37</v>
      </c>
      <c r="D6" t="s">
        <v>38</v>
      </c>
      <c r="E6">
        <v>4</v>
      </c>
      <c r="F6" t="s">
        <v>39</v>
      </c>
      <c r="G6" t="s">
        <v>40</v>
      </c>
      <c r="H6" t="s">
        <v>41</v>
      </c>
      <c r="I6" s="1">
        <f t="shared" si="0"/>
        <v>13.64</v>
      </c>
      <c r="J6" t="s">
        <v>42</v>
      </c>
    </row>
    <row r="7" spans="1:10" x14ac:dyDescent="0.25">
      <c r="A7">
        <v>6</v>
      </c>
      <c r="B7" t="s">
        <v>43</v>
      </c>
      <c r="C7" t="s">
        <v>44</v>
      </c>
      <c r="D7" t="s">
        <v>45</v>
      </c>
      <c r="E7">
        <v>1</v>
      </c>
      <c r="F7" t="s">
        <v>13</v>
      </c>
      <c r="G7" t="s">
        <v>46</v>
      </c>
      <c r="H7" t="s">
        <v>47</v>
      </c>
      <c r="I7" s="1">
        <f t="shared" si="0"/>
        <v>7.93</v>
      </c>
      <c r="J7" t="s">
        <v>48</v>
      </c>
    </row>
    <row r="8" spans="1:10" x14ac:dyDescent="0.25">
      <c r="A8">
        <v>7</v>
      </c>
      <c r="B8" t="s">
        <v>49</v>
      </c>
      <c r="C8" t="s">
        <v>50</v>
      </c>
      <c r="D8" t="s">
        <v>51</v>
      </c>
      <c r="E8">
        <v>1</v>
      </c>
      <c r="F8" t="s">
        <v>13</v>
      </c>
      <c r="G8" t="s">
        <v>52</v>
      </c>
      <c r="H8" t="s">
        <v>53</v>
      </c>
      <c r="I8" s="1">
        <f t="shared" si="0"/>
        <v>0.54</v>
      </c>
      <c r="J8" t="s">
        <v>54</v>
      </c>
    </row>
    <row r="9" spans="1:10" x14ac:dyDescent="0.25">
      <c r="A9">
        <v>8</v>
      </c>
      <c r="B9" t="s">
        <v>55</v>
      </c>
      <c r="C9" t="s">
        <v>56</v>
      </c>
      <c r="D9" t="s">
        <v>57</v>
      </c>
      <c r="E9">
        <v>4</v>
      </c>
      <c r="F9" t="s">
        <v>32</v>
      </c>
      <c r="G9" t="s">
        <v>58</v>
      </c>
      <c r="H9" t="s">
        <v>59</v>
      </c>
      <c r="I9" s="1">
        <f t="shared" si="0"/>
        <v>0.92</v>
      </c>
      <c r="J9" t="s">
        <v>60</v>
      </c>
    </row>
    <row r="10" spans="1:10" x14ac:dyDescent="0.25">
      <c r="A10">
        <v>9</v>
      </c>
      <c r="B10" t="s">
        <v>61</v>
      </c>
      <c r="C10" t="s">
        <v>62</v>
      </c>
      <c r="D10" t="s">
        <v>63</v>
      </c>
      <c r="E10">
        <v>2</v>
      </c>
      <c r="F10" t="s">
        <v>32</v>
      </c>
      <c r="G10" t="s">
        <v>64</v>
      </c>
      <c r="H10" t="s">
        <v>27</v>
      </c>
      <c r="I10" s="1">
        <f t="shared" si="0"/>
        <v>0.4</v>
      </c>
      <c r="J10" t="s">
        <v>65</v>
      </c>
    </row>
    <row r="11" spans="1:10" x14ac:dyDescent="0.25">
      <c r="A11">
        <v>10</v>
      </c>
      <c r="B11" t="s">
        <v>66</v>
      </c>
      <c r="C11" t="s">
        <v>67</v>
      </c>
      <c r="D11" t="s">
        <v>68</v>
      </c>
      <c r="E11">
        <v>4</v>
      </c>
      <c r="F11" t="s">
        <v>13</v>
      </c>
      <c r="G11" t="s">
        <v>69</v>
      </c>
      <c r="H11" t="s">
        <v>70</v>
      </c>
      <c r="I11" s="1">
        <f t="shared" si="0"/>
        <v>1.48</v>
      </c>
      <c r="J11" t="s">
        <v>71</v>
      </c>
    </row>
    <row r="12" spans="1:10" x14ac:dyDescent="0.25">
      <c r="A12">
        <v>11</v>
      </c>
      <c r="B12" t="s">
        <v>72</v>
      </c>
      <c r="C12" t="s">
        <v>73</v>
      </c>
      <c r="D12" t="s">
        <v>74</v>
      </c>
      <c r="E12">
        <v>1</v>
      </c>
      <c r="F12" t="s">
        <v>75</v>
      </c>
      <c r="G12" t="s">
        <v>76</v>
      </c>
      <c r="H12" t="s">
        <v>77</v>
      </c>
      <c r="I12" s="1">
        <f t="shared" si="0"/>
        <v>4.3600000000000003</v>
      </c>
      <c r="J12" t="s">
        <v>78</v>
      </c>
    </row>
    <row r="13" spans="1:10" x14ac:dyDescent="0.25">
      <c r="A13">
        <v>12</v>
      </c>
      <c r="B13" t="s">
        <v>79</v>
      </c>
      <c r="C13" t="s">
        <v>80</v>
      </c>
      <c r="D13" t="s">
        <v>81</v>
      </c>
      <c r="E13">
        <v>4</v>
      </c>
      <c r="F13" t="s">
        <v>82</v>
      </c>
      <c r="G13" t="s">
        <v>83</v>
      </c>
      <c r="H13" t="s">
        <v>84</v>
      </c>
      <c r="I13" s="1">
        <f t="shared" si="0"/>
        <v>0.4</v>
      </c>
      <c r="J13" t="s">
        <v>85</v>
      </c>
    </row>
    <row r="14" spans="1:10" x14ac:dyDescent="0.25">
      <c r="A14">
        <v>13</v>
      </c>
      <c r="B14" t="s">
        <v>86</v>
      </c>
      <c r="C14" t="s">
        <v>87</v>
      </c>
      <c r="D14" t="s">
        <v>88</v>
      </c>
      <c r="E14">
        <v>19</v>
      </c>
      <c r="F14" t="s">
        <v>13</v>
      </c>
      <c r="G14" t="s">
        <v>89</v>
      </c>
      <c r="H14" t="s">
        <v>90</v>
      </c>
      <c r="I14" s="1">
        <f t="shared" si="0"/>
        <v>2.9260000000000002</v>
      </c>
      <c r="J14" t="s">
        <v>91</v>
      </c>
    </row>
    <row r="15" spans="1:10" x14ac:dyDescent="0.25">
      <c r="A15">
        <v>14</v>
      </c>
      <c r="B15" t="s">
        <v>92</v>
      </c>
      <c r="C15" t="s">
        <v>93</v>
      </c>
      <c r="D15" t="s">
        <v>94</v>
      </c>
      <c r="E15">
        <v>11</v>
      </c>
      <c r="F15" t="s">
        <v>13</v>
      </c>
      <c r="G15" t="s">
        <v>95</v>
      </c>
      <c r="H15" t="s">
        <v>96</v>
      </c>
      <c r="I15" s="1">
        <f t="shared" si="0"/>
        <v>1.012</v>
      </c>
      <c r="J15" t="s">
        <v>97</v>
      </c>
    </row>
    <row r="16" spans="1:10" x14ac:dyDescent="0.25">
      <c r="A16">
        <v>15</v>
      </c>
      <c r="B16" t="s">
        <v>98</v>
      </c>
      <c r="C16" t="s">
        <v>30</v>
      </c>
      <c r="D16" t="s">
        <v>99</v>
      </c>
      <c r="E16">
        <v>2</v>
      </c>
      <c r="F16" t="s">
        <v>13</v>
      </c>
      <c r="G16" t="s">
        <v>100</v>
      </c>
      <c r="H16" t="s">
        <v>84</v>
      </c>
      <c r="I16" s="1">
        <f t="shared" si="0"/>
        <v>0.2</v>
      </c>
      <c r="J16" t="s">
        <v>101</v>
      </c>
    </row>
    <row r="17" spans="1:10" x14ac:dyDescent="0.25">
      <c r="A17">
        <v>16</v>
      </c>
      <c r="B17" t="s">
        <v>102</v>
      </c>
      <c r="C17" t="s">
        <v>44</v>
      </c>
      <c r="D17" t="s">
        <v>103</v>
      </c>
      <c r="E17">
        <v>2</v>
      </c>
      <c r="F17" t="s">
        <v>32</v>
      </c>
      <c r="G17" t="s">
        <v>104</v>
      </c>
      <c r="H17" t="s">
        <v>105</v>
      </c>
      <c r="I17" s="1">
        <f t="shared" si="0"/>
        <v>0.34</v>
      </c>
      <c r="J17" t="s">
        <v>106</v>
      </c>
    </row>
    <row r="18" spans="1:10" x14ac:dyDescent="0.25">
      <c r="A18">
        <v>17</v>
      </c>
      <c r="B18" t="s">
        <v>107</v>
      </c>
      <c r="C18" t="s">
        <v>108</v>
      </c>
      <c r="D18" t="s">
        <v>109</v>
      </c>
      <c r="E18">
        <v>2</v>
      </c>
      <c r="F18" t="s">
        <v>75</v>
      </c>
      <c r="G18" t="s">
        <v>110</v>
      </c>
      <c r="H18" t="s">
        <v>111</v>
      </c>
      <c r="I18" s="1">
        <f t="shared" si="0"/>
        <v>3.76</v>
      </c>
      <c r="J18" t="s">
        <v>112</v>
      </c>
    </row>
    <row r="19" spans="1:10" x14ac:dyDescent="0.25">
      <c r="A19">
        <v>18</v>
      </c>
      <c r="B19" t="s">
        <v>113</v>
      </c>
      <c r="C19" t="s">
        <v>114</v>
      </c>
      <c r="D19" t="s">
        <v>115</v>
      </c>
      <c r="E19">
        <v>5</v>
      </c>
      <c r="F19" t="s">
        <v>75</v>
      </c>
      <c r="G19" t="s">
        <v>116</v>
      </c>
      <c r="H19" t="s">
        <v>117</v>
      </c>
      <c r="I19" s="1">
        <f t="shared" si="0"/>
        <v>6.1</v>
      </c>
      <c r="J19" t="s">
        <v>118</v>
      </c>
    </row>
    <row r="20" spans="1:10" x14ac:dyDescent="0.25">
      <c r="A20">
        <v>19</v>
      </c>
      <c r="B20" t="s">
        <v>119</v>
      </c>
      <c r="C20" t="s">
        <v>67</v>
      </c>
      <c r="D20" t="s">
        <v>120</v>
      </c>
      <c r="E20">
        <v>1</v>
      </c>
      <c r="F20" t="s">
        <v>13</v>
      </c>
      <c r="G20" t="s">
        <v>121</v>
      </c>
      <c r="H20" t="s">
        <v>15</v>
      </c>
      <c r="I20" s="1">
        <f t="shared" si="0"/>
        <v>0.21</v>
      </c>
      <c r="J20" t="s">
        <v>122</v>
      </c>
    </row>
    <row r="21" spans="1:10" x14ac:dyDescent="0.25">
      <c r="A21">
        <v>20</v>
      </c>
      <c r="B21" t="s">
        <v>123</v>
      </c>
      <c r="C21" t="s">
        <v>93</v>
      </c>
      <c r="D21" t="s">
        <v>124</v>
      </c>
      <c r="E21">
        <v>5</v>
      </c>
      <c r="F21" t="s">
        <v>13</v>
      </c>
      <c r="G21" t="s">
        <v>125</v>
      </c>
      <c r="H21" t="s">
        <v>105</v>
      </c>
      <c r="I21" s="1">
        <f t="shared" si="0"/>
        <v>0.85000000000000009</v>
      </c>
      <c r="J21" t="s">
        <v>126</v>
      </c>
    </row>
    <row r="22" spans="1:10" x14ac:dyDescent="0.25">
      <c r="A22">
        <v>21</v>
      </c>
      <c r="B22" t="s">
        <v>127</v>
      </c>
      <c r="C22" t="s">
        <v>93</v>
      </c>
      <c r="D22" t="s">
        <v>128</v>
      </c>
      <c r="E22">
        <v>1</v>
      </c>
      <c r="F22" t="s">
        <v>129</v>
      </c>
      <c r="G22" t="s">
        <v>130</v>
      </c>
      <c r="H22" t="s">
        <v>27</v>
      </c>
      <c r="I22" s="1">
        <f t="shared" si="0"/>
        <v>0.2</v>
      </c>
      <c r="J22" t="s">
        <v>131</v>
      </c>
    </row>
    <row r="23" spans="1:10" x14ac:dyDescent="0.25">
      <c r="A23">
        <v>22</v>
      </c>
      <c r="B23" t="s">
        <v>132</v>
      </c>
      <c r="C23" t="s">
        <v>93</v>
      </c>
      <c r="D23" t="s">
        <v>133</v>
      </c>
      <c r="E23">
        <v>2</v>
      </c>
      <c r="F23" t="s">
        <v>13</v>
      </c>
      <c r="G23" t="s">
        <v>134</v>
      </c>
      <c r="H23" t="s">
        <v>135</v>
      </c>
      <c r="I23" s="1">
        <f t="shared" si="0"/>
        <v>0.36</v>
      </c>
      <c r="J23" t="s">
        <v>126</v>
      </c>
    </row>
    <row r="24" spans="1:10" x14ac:dyDescent="0.25">
      <c r="A24">
        <v>23</v>
      </c>
      <c r="B24" t="s">
        <v>136</v>
      </c>
      <c r="C24" t="s">
        <v>87</v>
      </c>
      <c r="D24" t="s">
        <v>137</v>
      </c>
      <c r="E24">
        <v>1</v>
      </c>
      <c r="F24" t="s">
        <v>13</v>
      </c>
      <c r="G24" t="s">
        <v>138</v>
      </c>
      <c r="H24" t="s">
        <v>139</v>
      </c>
      <c r="I24" s="1">
        <f t="shared" si="0"/>
        <v>0.25</v>
      </c>
      <c r="J24" t="s">
        <v>91</v>
      </c>
    </row>
    <row r="25" spans="1:10" x14ac:dyDescent="0.25">
      <c r="A25">
        <v>24</v>
      </c>
      <c r="B25" t="s">
        <v>140</v>
      </c>
      <c r="C25" t="s">
        <v>80</v>
      </c>
      <c r="D25" t="s">
        <v>141</v>
      </c>
      <c r="E25">
        <v>4</v>
      </c>
      <c r="F25" t="s">
        <v>82</v>
      </c>
      <c r="G25" t="s">
        <v>142</v>
      </c>
      <c r="H25" t="s">
        <v>84</v>
      </c>
      <c r="I25" s="1">
        <f t="shared" si="0"/>
        <v>0.4</v>
      </c>
      <c r="J25" t="s">
        <v>85</v>
      </c>
    </row>
    <row r="26" spans="1:10" x14ac:dyDescent="0.25">
      <c r="A26">
        <v>25</v>
      </c>
      <c r="B26" t="s">
        <v>143</v>
      </c>
      <c r="C26" t="s">
        <v>80</v>
      </c>
      <c r="D26" t="s">
        <v>144</v>
      </c>
      <c r="E26">
        <v>1</v>
      </c>
      <c r="F26" t="s">
        <v>82</v>
      </c>
      <c r="G26" t="s">
        <v>145</v>
      </c>
      <c r="H26" t="s">
        <v>84</v>
      </c>
      <c r="I26" s="1">
        <f t="shared" si="0"/>
        <v>0.1</v>
      </c>
      <c r="J26" t="s">
        <v>85</v>
      </c>
    </row>
    <row r="27" spans="1:10" x14ac:dyDescent="0.25">
      <c r="A27">
        <v>26</v>
      </c>
      <c r="B27" t="s">
        <v>146</v>
      </c>
      <c r="C27" t="s">
        <v>80</v>
      </c>
      <c r="D27" t="s">
        <v>147</v>
      </c>
      <c r="E27">
        <v>5</v>
      </c>
      <c r="F27" t="s">
        <v>82</v>
      </c>
      <c r="G27" t="s">
        <v>148</v>
      </c>
      <c r="H27" t="s">
        <v>84</v>
      </c>
      <c r="I27" s="1">
        <f t="shared" si="0"/>
        <v>0.5</v>
      </c>
      <c r="J27" t="s">
        <v>85</v>
      </c>
    </row>
    <row r="28" spans="1:10" x14ac:dyDescent="0.25">
      <c r="I28" s="1"/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Lists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Chernikhowsky</dc:creator>
  <cp:lastModifiedBy>Paul Chernikhowsky</cp:lastModifiedBy>
  <dcterms:created xsi:type="dcterms:W3CDTF">2026-04-07T01:11:19Z</dcterms:created>
  <dcterms:modified xsi:type="dcterms:W3CDTF">2026-04-07T01:12:13Z</dcterms:modified>
</cp:coreProperties>
</file>